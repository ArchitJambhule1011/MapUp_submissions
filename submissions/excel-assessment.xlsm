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New folder (2)\MapUp-Data-Assessment-F\"/>
    </mc:Choice>
  </mc:AlternateContent>
  <xr:revisionPtr revIDLastSave="0" documentId="8_{1CD12476-CF8F-486F-8750-6FC59C9B5859}" xr6:coauthVersionLast="47" xr6:coauthVersionMax="47" xr10:uidLastSave="{00000000-0000-0000-0000-000000000000}"/>
  <bookViews>
    <workbookView xWindow="-120" yWindow="-120" windowWidth="29040" windowHeight="15720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18" l="1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 s="1"/>
</calcChain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<sst xmlns="http://schemas.openxmlformats.org/spreadsheetml/2006/main" count="405" uniqueCount="182">
  <si>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</si>
  <si>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</si>
  <si>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</si>
  <si>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</si>
  <si>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</si>
  <si>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</si>
  <si>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</si>
  <si>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</si>
  <si>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</si>
  <si>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</si>
  <si>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</si>
  <si>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</si>
  <si>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</si>
  <si>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</si>
  <si>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</si>
  <si>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</si>
  <si>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</si>
  <si>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</si>
  <si>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</si>
  <si>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</si>
  <si>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</si>
  <si>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</si>
  <si>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</si>
  <si>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</si>
  <si>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</si>
  <si>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</si>
  <si>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</si>
  <si>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</si>
  <si>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</si>
  <si>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</si>
  <si>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</si>
  <si>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</si>
  <si>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</si>
  <si>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</si>
  <si>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</si>
  <si>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</si>
  <si>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</si>
  <si>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</si>
  <si>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</si>
  <si>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</si>
  <si>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</si>
  <si>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</si>
  <si>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</si>
  <si>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</si>
  <si>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</si>
  <si>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</si>
  <si>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</si>
  <si>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</si>
  <si>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</si>
  <si>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</si>
  <si>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</si>
  <si>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</si>
  <si>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</si>
  <si>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</si>
  <si>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</si>
  <si>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</si>
  <si>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</si>
  <si>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</si>
  <si>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</si>
  <si>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</si>
  <si>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</si>
  <si>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</si>
  <si>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</si>
  <si>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</si>
  <si>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</si>
  <si>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</si>
  <si>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</si>
  <si>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</si>
  <si>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</si>
  <si>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</si>
  <si>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</si>
  <si>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</si>
  <si>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</si>
  <si>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</si>
  <si>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</si>
  <si>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</si>
  <si>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</si>
  <si>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</si>
  <si>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</si>
  <si>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</si>
  <si>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</si>
  <si>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</si>
  <si>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</si>
  <si>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</si>
  <si>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</si>
  <si>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</si>
  <si>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</si>
  <si>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</si>
  <si>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</si>
  <si>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</si>
  <si>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</si>
  <si>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</si>
  <si>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</si>
  <si>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</si>
  <si>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</si>
  <si>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</si>
  <si>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</si>
  <si>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</si>
  <si>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</si>
  <si>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</si>
  <si>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</si>
  <si>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</si>
  <si>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</si>
  <si>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</si>
  <si>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</si>
  <si>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</si>
  <si>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</si>
  <si>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</si>
  <si>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</si>
  <si>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</si>
  <si>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</si>
  <si>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</si>
  <si>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</si>
  <si>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</si>
  <si>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</si>
  <si>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</si>
  <si>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</si>
  <si>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</si>
  <si>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</si>
  <si>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</si>
  <si>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</si>
  <si>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</si>
  <si>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</si>
  <si>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</si>
  <si>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</si>
  <si>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</si>
  <si>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</si>
  <si>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</si>
  <si>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</si>
  <si>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</si>
  <si>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</si>
  <si>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</si>
  <si>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</si>
  <si>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</si>
  <si>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</si>
  <si>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</si>
  <si>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</si>
  <si>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</si>
  <si>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</si>
  <si>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</si>
  <si>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</si>
  <si>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</si>
  <si>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</si>
  <si>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</si>
  <si>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</si>
  <si>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</si>
  <si>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</si>
  <si>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</si>
  <si>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</si>
  <si>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</si>
  <si>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</si>
  <si>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</si>
  <si>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</si>
  <si>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</si>
  <si>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</si>
  <si>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</si>
  <si>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</si>
  <si>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</si>
  <si>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</si>
  <si>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</si>
  <si>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</si>
  <si>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</si>
  <si>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</si>
  <si>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</si>
  <si>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</si>
  <si>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</si>
  <si>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</si>
  <si>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</si>
  <si>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</si>
  <si>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</si>
  <si>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</si>
  <si>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</si>
  <si>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</si>
  <si>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</si>
  <si>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</si>
  <si>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</si>
  <si>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</si>
  <si>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=SUMIF(H2:H100,"&gt;20")'</t>
  </si>
  <si>
    <t>=SUM(IF(ISNUMBER(C12:C21), C12:C21, 20))'</t>
  </si>
  <si>
    <t>First checks if it is a valid number, if not substitutes values by 20</t>
  </si>
  <si>
    <t>=IFERROR(INDEX($A$9:$J$18, MATCH(INDEX($M$9:$N$18, MATCH(A23, $M$9:$M$18, 0), 2), $A$9:$A$18, 0), MATCH(INDEX($M$9:$N$18, MATCH(B23, $M$9:$M$18, 0), 2), $A$9:$J$9, 0)), "")'</t>
  </si>
  <si>
    <t>This formula uses INDEX and MATCH functions to retrieve a value from Table A based on relationships specified in Table B and the values in cells A23 and B23 of Table C, returning an empty string if there's an error or no match.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</si>
</sst>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4" fillId="0" borderId="0" xfId="0" quotePrefix="1" applyFont="1"/>
    <xf numFmtId="167" fontId="7" fillId="0" borderId="0" xfId="0" applyNumberFormat="1" applyFont="1"/>
    <xf numFmtId="167" fontId="3" fillId="0" borderId="0" xfId="0" applyNumberFormat="1" applyFont="1"/>
    <xf numFmtId="0" fontId="3" fillId="0" borderId="0" xfId="0" quotePrefix="1" applyFont="1"/>
    <xf numFmtId="0" fontId="8" fillId="0" borderId="0" xfId="0" quotePrefix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6"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00B050"/>
      </font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5"/>
      <tableStyleElement type="headerRow" dxfId="4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5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E1" zoomScaleNormal="100" workbookViewId="0">
      <pane ySplit="1" topLeftCell="A7" activePane="bottomLeft" state="frozen"/>
      <selection pane="bottomLeft" sqref="A1:X40"/>
    </sheetView>
  </sheetViews>
  <sheetFormatPr defaultColWidth="9" defaultRowHeight="15" x14ac:dyDescent="0.25"/>
  <cols>
    <col min="1" max="1" width="17.83203125" style="1" customWidth="1"/>
    <col min="2" max="2" width="7.33203125" style="1" bestFit="1" customWidth="1"/>
    <col min="3" max="3" width="14.6640625" style="1" customWidth="1"/>
    <col min="4" max="4" width="15.1640625" style="23" customWidth="1"/>
    <col min="5" max="5" width="13.1640625" style="1" customWidth="1"/>
    <col min="6" max="6" width="15.5" style="23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2" width="19" style="1" bestFit="1" customWidth="1"/>
    <col min="23" max="23" width="12.5" style="1" customWidth="1"/>
    <col min="24" max="24" width="12.6640625" style="45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43" priority="4"/>
  </conditionalFormatting>
  <conditionalFormatting sqref="B1:B1048576">
    <cfRule type="duplicateValues" dxfId="42" priority="3"/>
  </conditionalFormatting>
  <conditionalFormatting sqref="G1:W1048576">
    <cfRule type="cellIs" dxfId="41" priority="2" operator="equal">
      <formula>-1</formula>
    </cfRule>
    <cfRule type="cellIs" dxfId="4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4" sqref="C4"/>
    </sheetView>
  </sheetViews>
  <sheetFormatPr defaultColWidth="11" defaultRowHeight="15" x14ac:dyDescent="0.25"/>
  <cols>
    <col min="1" max="1" width="8.33203125" style="1" bestFit="1" customWidth="1"/>
    <col min="2" max="2" width="75.83203125" style="1" customWidth="1"/>
    <col min="3" max="3" width="34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43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zoomScale="77" zoomScaleNormal="77" workbookViewId="0">
      <selection activeCell="P13" sqref="P13"/>
    </sheetView>
  </sheetViews>
  <sheetFormatPr defaultColWidth="11" defaultRowHeight="12.75" x14ac:dyDescent="0.2"/>
  <cols>
    <col min="1" max="1" width="25.83203125" style="2" customWidth="1"/>
    <col min="2" max="2" width="19.83203125" style="2" customWidth="1"/>
    <col min="3" max="3" width="19.5" style="2" customWidth="1"/>
    <col min="4" max="4" width="20.33203125" style="2" customWidth="1"/>
    <col min="5" max="5" width="23.33203125" style="2" customWidth="1"/>
    <col min="6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v>2.7</v>
      </c>
      <c r="C6" s="11">
        <v>7.6</v>
      </c>
      <c r="D6" s="11">
        <v>4.2</v>
      </c>
      <c r="E6" s="11">
        <v>8.9</v>
      </c>
      <c r="F6" s="11">
        <v>4.2</v>
      </c>
    </row>
    <row r="7" spans="1:7" ht="15" x14ac:dyDescent="0.25">
      <c r="A7" s="7" t="s">
        <v>4</v>
      </c>
      <c r="B7" s="11">
        <v>2.7</v>
      </c>
      <c r="C7" s="11">
        <v>7.6</v>
      </c>
      <c r="D7" s="11">
        <v>4.2</v>
      </c>
      <c r="E7" s="11">
        <v>8.9</v>
      </c>
      <c r="F7" s="11">
        <v>4.2</v>
      </c>
    </row>
    <row r="8" spans="1:7" ht="15" x14ac:dyDescent="0.25">
      <c r="A8" s="7" t="s">
        <v>7</v>
      </c>
      <c r="B8" s="1">
        <v>3.6</v>
      </c>
      <c r="C8" s="1">
        <v>11.1</v>
      </c>
      <c r="D8" s="1">
        <v>5.8</v>
      </c>
      <c r="E8" s="1">
        <v>12.2</v>
      </c>
      <c r="F8" s="1">
        <v>5.8</v>
      </c>
    </row>
    <row r="9" spans="1:7" ht="15" x14ac:dyDescent="0.25">
      <c r="A9" s="7" t="s">
        <v>8</v>
      </c>
      <c r="B9" s="1">
        <v>4.9000000000000004</v>
      </c>
      <c r="C9" s="1">
        <v>13.3</v>
      </c>
      <c r="D9" s="1">
        <v>8.1</v>
      </c>
      <c r="E9" s="1">
        <v>17</v>
      </c>
      <c r="F9" s="1">
        <v>8.1</v>
      </c>
    </row>
    <row r="10" spans="1:7" ht="15" x14ac:dyDescent="0.25">
      <c r="A10" s="7" t="s">
        <v>11</v>
      </c>
      <c r="B10" s="1">
        <v>9.4</v>
      </c>
      <c r="C10" s="1">
        <v>28.3</v>
      </c>
      <c r="D10" s="1">
        <v>16.100000000000001</v>
      </c>
      <c r="E10" s="1">
        <v>32.799999999999997</v>
      </c>
      <c r="F10" s="1">
        <v>16.100000000000001</v>
      </c>
    </row>
    <row r="11" spans="1:7" ht="15" x14ac:dyDescent="0.25">
      <c r="A11" s="7" t="s">
        <v>12</v>
      </c>
      <c r="B11" s="1">
        <v>11.6</v>
      </c>
      <c r="C11" s="1">
        <v>35.200000000000003</v>
      </c>
      <c r="D11" s="1">
        <v>21.3</v>
      </c>
      <c r="E11" s="1">
        <v>43</v>
      </c>
      <c r="F11" s="1">
        <v>21.3</v>
      </c>
    </row>
    <row r="12" spans="1:7" ht="15" x14ac:dyDescent="0.25">
      <c r="A12" s="7" t="s">
        <v>14</v>
      </c>
      <c r="B12" s="1">
        <v>18.399999999999999</v>
      </c>
      <c r="C12" s="1">
        <v>55.6</v>
      </c>
      <c r="D12" s="1">
        <v>33.799999999999997</v>
      </c>
      <c r="E12" s="1">
        <v>67.900000000000006</v>
      </c>
      <c r="F12" s="1">
        <v>33.799999999999997</v>
      </c>
    </row>
    <row r="13" spans="1:7" ht="15" x14ac:dyDescent="0.25">
      <c r="A13" s="7" t="s">
        <v>15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</row>
    <row r="14" spans="1:7" ht="15" x14ac:dyDescent="0.25">
      <c r="A14" s="7" t="s">
        <v>16</v>
      </c>
      <c r="B14" s="1">
        <v>21.9</v>
      </c>
      <c r="C14" s="1">
        <v>61.5</v>
      </c>
      <c r="D14" s="1">
        <v>40.1</v>
      </c>
      <c r="E14" s="1">
        <v>76.599999999999994</v>
      </c>
      <c r="F14" s="1">
        <v>40.1</v>
      </c>
    </row>
    <row r="15" spans="1:7" ht="15" x14ac:dyDescent="0.25">
      <c r="A15" s="7" t="s">
        <v>18</v>
      </c>
      <c r="B15" s="1">
        <v>26.8</v>
      </c>
      <c r="C15" s="1">
        <v>79.599999999999994</v>
      </c>
      <c r="D15" s="1">
        <v>47.9</v>
      </c>
      <c r="E15" s="1">
        <v>96.8</v>
      </c>
      <c r="F15" s="1">
        <v>47.9</v>
      </c>
    </row>
    <row r="16" spans="1:7" ht="15" x14ac:dyDescent="0.25">
      <c r="A16" s="7" t="s">
        <v>20</v>
      </c>
      <c r="B16" s="1">
        <v>28.5</v>
      </c>
      <c r="C16" s="1">
        <v>85.4</v>
      </c>
      <c r="D16" s="1">
        <v>52.3</v>
      </c>
      <c r="E16" s="1">
        <v>106.1</v>
      </c>
      <c r="F16" s="1">
        <v>52.3</v>
      </c>
    </row>
    <row r="17" spans="1:6" ht="15" x14ac:dyDescent="0.25">
      <c r="A17" s="7" t="s">
        <v>22</v>
      </c>
      <c r="B17" s="1">
        <v>30.7</v>
      </c>
      <c r="C17" s="1">
        <v>92.1</v>
      </c>
      <c r="D17" s="1">
        <v>57</v>
      </c>
      <c r="E17" s="1">
        <v>115.1</v>
      </c>
      <c r="F17" s="1">
        <v>57</v>
      </c>
    </row>
    <row r="18" spans="1:6" ht="15" x14ac:dyDescent="0.25">
      <c r="A18" s="7" t="s">
        <v>23</v>
      </c>
      <c r="B18" s="1">
        <v>33.799999999999997</v>
      </c>
      <c r="C18" s="1">
        <v>101.3</v>
      </c>
      <c r="D18" s="1">
        <v>61.4</v>
      </c>
      <c r="E18" s="1">
        <v>124.4</v>
      </c>
      <c r="F18" s="1">
        <v>61.4</v>
      </c>
    </row>
    <row r="19" spans="1:6" ht="15" x14ac:dyDescent="0.25">
      <c r="A19" s="7" t="s">
        <v>24</v>
      </c>
      <c r="B19" s="1">
        <v>34.700000000000003</v>
      </c>
      <c r="C19" s="1">
        <v>106.1</v>
      </c>
      <c r="D19" s="1">
        <v>63.6</v>
      </c>
      <c r="E19" s="1">
        <v>128.6</v>
      </c>
      <c r="F19" s="1">
        <v>63.6</v>
      </c>
    </row>
    <row r="20" spans="1:6" ht="15" x14ac:dyDescent="0.25">
      <c r="A20" s="7" t="s">
        <v>28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</row>
    <row r="21" spans="1:6" ht="15" x14ac:dyDescent="0.25">
      <c r="A21" s="7" t="s">
        <v>57</v>
      </c>
      <c r="B21" s="1">
        <v>41.3</v>
      </c>
      <c r="C21" s="1">
        <v>124.4</v>
      </c>
      <c r="D21" s="1">
        <v>75</v>
      </c>
      <c r="E21" s="1">
        <v>151.5</v>
      </c>
      <c r="F21" s="1">
        <v>75</v>
      </c>
    </row>
    <row r="22" spans="1:6" ht="15" x14ac:dyDescent="0.25">
      <c r="A22" s="7" t="s">
        <v>58</v>
      </c>
      <c r="B22" s="1">
        <v>-1</v>
      </c>
      <c r="C22" s="1">
        <v>-1</v>
      </c>
      <c r="D22" s="1">
        <v>-1</v>
      </c>
      <c r="E22" s="1">
        <v>-1</v>
      </c>
      <c r="F22" s="1">
        <v>-1</v>
      </c>
    </row>
    <row r="23" spans="1:6" ht="15" x14ac:dyDescent="0.25">
      <c r="A23" s="7" t="s">
        <v>31</v>
      </c>
      <c r="B23" s="1">
        <v>45</v>
      </c>
      <c r="C23" s="1">
        <v>133.4</v>
      </c>
      <c r="D23" s="1">
        <v>79.400000000000006</v>
      </c>
      <c r="E23" s="1">
        <v>160.9</v>
      </c>
      <c r="F23" s="1">
        <v>79.400000000000006</v>
      </c>
    </row>
    <row r="24" spans="1:6" ht="15" x14ac:dyDescent="0.25">
      <c r="A24" s="7" t="s">
        <v>32</v>
      </c>
      <c r="B24" s="1">
        <v>-1</v>
      </c>
      <c r="C24" s="1">
        <v>-1</v>
      </c>
      <c r="D24" s="1">
        <v>-1</v>
      </c>
      <c r="E24" s="1">
        <v>-1</v>
      </c>
      <c r="F24" s="1">
        <v>-1</v>
      </c>
    </row>
    <row r="25" spans="1:6" ht="15" x14ac:dyDescent="0.25">
      <c r="A25" s="7" t="s">
        <v>34</v>
      </c>
      <c r="B25" s="1">
        <v>43.3</v>
      </c>
      <c r="C25" s="1">
        <v>128.6</v>
      </c>
      <c r="D25" s="1">
        <v>79.400000000000006</v>
      </c>
      <c r="E25" s="1">
        <v>160.9</v>
      </c>
      <c r="F25" s="1">
        <v>79.400000000000006</v>
      </c>
    </row>
    <row r="26" spans="1:6" ht="15" x14ac:dyDescent="0.25">
      <c r="A26" s="7" t="s">
        <v>37</v>
      </c>
      <c r="B26" s="1">
        <v>49.1</v>
      </c>
      <c r="C26" s="1">
        <v>146.80000000000001</v>
      </c>
      <c r="D26" s="1">
        <v>90.9</v>
      </c>
      <c r="E26" s="1">
        <v>183.5</v>
      </c>
      <c r="F26" s="1">
        <v>90.9</v>
      </c>
    </row>
    <row r="27" spans="1:6" ht="15" x14ac:dyDescent="0.25">
      <c r="A27" s="7" t="s">
        <v>39</v>
      </c>
      <c r="B27" s="1">
        <v>51.8</v>
      </c>
      <c r="C27" s="1">
        <v>156.4</v>
      </c>
      <c r="D27" s="1">
        <v>93.1</v>
      </c>
      <c r="E27" s="1">
        <v>188.1</v>
      </c>
      <c r="F27" s="1">
        <v>93.1</v>
      </c>
    </row>
    <row r="28" spans="1:6" ht="15" x14ac:dyDescent="0.25">
      <c r="A28" s="18" t="s">
        <v>82</v>
      </c>
      <c r="B28" s="30">
        <f>MIN(Task_2!B$5:B$27)</f>
        <v>-1</v>
      </c>
      <c r="C28" s="30">
        <f>MIN(Task_2!C$5:C$27)</f>
        <v>-1</v>
      </c>
      <c r="D28" s="30">
        <f>MIN(Task_2!D$5:D$27)</f>
        <v>-1</v>
      </c>
      <c r="E28" s="30">
        <f>MIN(Task_2!E$5:E$27)</f>
        <v>-1</v>
      </c>
      <c r="F28" s="30">
        <f>MIN(Task_2!F$5:F$27)</f>
        <v>-1</v>
      </c>
    </row>
    <row r="29" spans="1:6" ht="15" x14ac:dyDescent="0.25">
      <c r="A29" s="18" t="s">
        <v>83</v>
      </c>
      <c r="B29" s="30">
        <f>MAX(Task_2!B$5:B$27)</f>
        <v>51.8</v>
      </c>
      <c r="C29" s="30">
        <f>MAX(Task_2!C$5:C$27)</f>
        <v>156.4</v>
      </c>
      <c r="D29" s="30">
        <f>MAX(Task_2!D$5:D$27)</f>
        <v>93.1</v>
      </c>
      <c r="E29" s="30">
        <f>MAX(Task_2!E$5:E$27)</f>
        <v>188.1</v>
      </c>
      <c r="F29" s="30">
        <f>MAX(Task_2!F$5:F$27)</f>
        <v>93.1</v>
      </c>
    </row>
    <row r="30" spans="1:6" ht="15" x14ac:dyDescent="0.25">
      <c r="A30" s="18" t="s">
        <v>84</v>
      </c>
      <c r="B30" s="30">
        <f>AVERAGE(Task_2!B$5:B$27)</f>
        <v>20.827272727272728</v>
      </c>
      <c r="C30" s="30">
        <f>AVERAGE(Task_2!C$5:C$27)</f>
        <v>62.377272727272725</v>
      </c>
      <c r="D30" s="30">
        <f>AVERAGE(Task_2!D$5:D$27)</f>
        <v>37.800000000000004</v>
      </c>
      <c r="E30" s="30">
        <f>AVERAGE(Task_2!E$5:E$27)</f>
        <v>76.418181818181822</v>
      </c>
      <c r="F30" s="30">
        <f>AVERAGE(Task_2!F$5:F$27)</f>
        <v>37.800000000000004</v>
      </c>
    </row>
  </sheetData>
  <conditionalFormatting sqref="B8:F8">
    <cfRule type="cellIs" dxfId="39" priority="39" operator="equal">
      <formula>0</formula>
    </cfRule>
    <cfRule type="cellIs" dxfId="38" priority="40" operator="equal">
      <formula>-1</formula>
    </cfRule>
  </conditionalFormatting>
  <conditionalFormatting sqref="B9:F9">
    <cfRule type="cellIs" dxfId="37" priority="37" operator="equal">
      <formula>0</formula>
    </cfRule>
    <cfRule type="cellIs" dxfId="36" priority="38" operator="equal">
      <formula>-1</formula>
    </cfRule>
  </conditionalFormatting>
  <conditionalFormatting sqref="B10:F10">
    <cfRule type="cellIs" dxfId="35" priority="35" operator="equal">
      <formula>0</formula>
    </cfRule>
    <cfRule type="cellIs" dxfId="34" priority="36" operator="equal">
      <formula>-1</formula>
    </cfRule>
  </conditionalFormatting>
  <conditionalFormatting sqref="B11:F11">
    <cfRule type="cellIs" dxfId="33" priority="33" operator="equal">
      <formula>0</formula>
    </cfRule>
    <cfRule type="cellIs" dxfId="32" priority="34" operator="equal">
      <formula>-1</formula>
    </cfRule>
  </conditionalFormatting>
  <conditionalFormatting sqref="B12:F12">
    <cfRule type="cellIs" dxfId="31" priority="31" operator="equal">
      <formula>0</formula>
    </cfRule>
    <cfRule type="cellIs" dxfId="30" priority="32" operator="equal">
      <formula>-1</formula>
    </cfRule>
  </conditionalFormatting>
  <conditionalFormatting sqref="B13:F13">
    <cfRule type="cellIs" dxfId="29" priority="29" operator="equal">
      <formula>0</formula>
    </cfRule>
    <cfRule type="cellIs" dxfId="28" priority="30" operator="equal">
      <formula>-1</formula>
    </cfRule>
  </conditionalFormatting>
  <conditionalFormatting sqref="B14:F14">
    <cfRule type="cellIs" dxfId="27" priority="27" operator="equal">
      <formula>0</formula>
    </cfRule>
    <cfRule type="cellIs" dxfId="26" priority="28" operator="equal">
      <formula>-1</formula>
    </cfRule>
  </conditionalFormatting>
  <conditionalFormatting sqref="B15:F15">
    <cfRule type="cellIs" dxfId="25" priority="25" operator="equal">
      <formula>0</formula>
    </cfRule>
    <cfRule type="cellIs" dxfId="24" priority="26" operator="equal">
      <formula>-1</formula>
    </cfRule>
  </conditionalFormatting>
  <conditionalFormatting sqref="B16:F16">
    <cfRule type="cellIs" dxfId="23" priority="23" operator="equal">
      <formula>0</formula>
    </cfRule>
    <cfRule type="cellIs" dxfId="22" priority="24" operator="equal">
      <formula>-1</formula>
    </cfRule>
  </conditionalFormatting>
  <conditionalFormatting sqref="B17:F17">
    <cfRule type="cellIs" dxfId="21" priority="21" operator="equal">
      <formula>0</formula>
    </cfRule>
    <cfRule type="cellIs" dxfId="20" priority="22" operator="equal">
      <formula>-1</formula>
    </cfRule>
  </conditionalFormatting>
  <conditionalFormatting sqref="B18:F18">
    <cfRule type="cellIs" dxfId="19" priority="19" operator="equal">
      <formula>0</formula>
    </cfRule>
    <cfRule type="cellIs" dxfId="18" priority="20" operator="equal">
      <formula>-1</formula>
    </cfRule>
  </conditionalFormatting>
  <conditionalFormatting sqref="B19:F19">
    <cfRule type="cellIs" dxfId="17" priority="17" operator="equal">
      <formula>0</formula>
    </cfRule>
    <cfRule type="cellIs" dxfId="16" priority="18" operator="equal">
      <formula>-1</formula>
    </cfRule>
  </conditionalFormatting>
  <conditionalFormatting sqref="B20:F20">
    <cfRule type="cellIs" dxfId="15" priority="15" operator="equal">
      <formula>0</formula>
    </cfRule>
    <cfRule type="cellIs" dxfId="14" priority="16" operator="equal">
      <formula>-1</formula>
    </cfRule>
  </conditionalFormatting>
  <conditionalFormatting sqref="B21:F21">
    <cfRule type="cellIs" dxfId="13" priority="13" operator="equal">
      <formula>0</formula>
    </cfRule>
    <cfRule type="cellIs" dxfId="12" priority="14" operator="equal">
      <formula>-1</formula>
    </cfRule>
  </conditionalFormatting>
  <conditionalFormatting sqref="B22:F22">
    <cfRule type="cellIs" dxfId="11" priority="11" operator="equal">
      <formula>0</formula>
    </cfRule>
    <cfRule type="cellIs" dxfId="10" priority="12" operator="equal">
      <formula>-1</formula>
    </cfRule>
  </conditionalFormatting>
  <conditionalFormatting sqref="B23:F23">
    <cfRule type="cellIs" dxfId="9" priority="9" operator="equal">
      <formula>0</formula>
    </cfRule>
    <cfRule type="cellIs" dxfId="8" priority="10" operator="equal">
      <formula>-1</formula>
    </cfRule>
  </conditionalFormatting>
  <conditionalFormatting sqref="B24:F24">
    <cfRule type="cellIs" dxfId="7" priority="7" operator="equal">
      <formula>0</formula>
    </cfRule>
    <cfRule type="cellIs" dxfId="6" priority="8" operator="equal">
      <formula>-1</formula>
    </cfRule>
  </conditionalFormatting>
  <conditionalFormatting sqref="B25:F25">
    <cfRule type="cellIs" dxfId="5" priority="5" operator="equal">
      <formula>0</formula>
    </cfRule>
    <cfRule type="cellIs" dxfId="4" priority="6" operator="equal">
      <formula>-1</formula>
    </cfRule>
  </conditionalFormatting>
  <conditionalFormatting sqref="B26:F26">
    <cfRule type="cellIs" dxfId="3" priority="3" operator="equal">
      <formula>0</formula>
    </cfRule>
    <cfRule type="cellIs" dxfId="2" priority="4" operator="equal">
      <formula>-1</formula>
    </cfRule>
  </conditionalFormatting>
  <conditionalFormatting sqref="B27:F27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" zoomScaleNormal="100" workbookViewId="0">
      <selection activeCell="J18" sqref="J18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38"/>
    </row>
    <row r="6" spans="1:10" ht="18.75" x14ac:dyDescent="0.3">
      <c r="A6" s="41" t="s">
        <v>153</v>
      </c>
      <c r="B6" s="38"/>
    </row>
    <row r="7" spans="1:10" ht="18.75" x14ac:dyDescent="0.3">
      <c r="A7" s="41"/>
      <c r="B7" s="38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G28" sqref="G28"/>
    </sheetView>
  </sheetViews>
  <sheetFormatPr defaultColWidth="11" defaultRowHeight="12.75" x14ac:dyDescent="0.2"/>
  <cols>
    <col min="1" max="1" width="34" style="2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38" style="2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0" t="s">
        <v>85</v>
      </c>
      <c r="B1" s="39" t="s">
        <v>167</v>
      </c>
    </row>
    <row r="2" spans="1:3" ht="18.75" x14ac:dyDescent="0.3">
      <c r="B2" s="38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46" t="s">
        <v>178</v>
      </c>
    </row>
    <row r="7" spans="1:3" ht="15" x14ac:dyDescent="0.25">
      <c r="A7" s="3" t="s">
        <v>153</v>
      </c>
      <c r="B7" s="1" t="s">
        <v>179</v>
      </c>
    </row>
    <row r="10" spans="1:3" ht="23.25" x14ac:dyDescent="0.35">
      <c r="A10" s="17" t="s">
        <v>162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 t="e">
        <v>#N/A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24">
        <f t="array" ref="C22">SUM(IF(ISNUMBER(C12:C21), 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40"/>
  <sheetViews>
    <sheetView zoomScaleNormal="100" workbookViewId="0">
      <selection activeCell="J23" sqref="J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  <c r="C4" s="47" t="s">
        <v>180</v>
      </c>
    </row>
    <row r="5" spans="1:14" ht="18.75" x14ac:dyDescent="0.3">
      <c r="A5" s="41" t="s">
        <v>153</v>
      </c>
      <c r="B5" s="1" t="s">
        <v>181</v>
      </c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2">
        <f>IFERROR(INDEX($A$9:$J$18, MATCH(INDEX($M$9:$N$18, MATCH(A23, $M$9:$M$18, 0), 2), $A$9:$A$18, 0), MATCH(INDEX($M$9:$N$18, MATCH(B23, $M$9:$M$18, 0), 2), $A$9:$J$9, 0)), "")</f>
        <v>95</v>
      </c>
    </row>
    <row r="24" spans="1:14" ht="15" x14ac:dyDescent="0.25">
      <c r="A24" s="7">
        <v>10100</v>
      </c>
      <c r="B24" s="11">
        <v>10104</v>
      </c>
      <c r="C24" s="42">
        <f t="shared" ref="C24:C35" si="0">IFERROR(INDEX($A$9:$J$18, MATCH(INDEX($M$9:$N$18, MATCH(A24, $M$9:$M$18, 0), 2), $A$9:$A$18, 0), MATCH(INDEX($M$9:$N$18, MATCH(B24, $M$9:$M$18, 0), 2), $A$9:$J$9, 0)), "")</f>
        <v>-1</v>
      </c>
    </row>
    <row r="25" spans="1:14" ht="15" x14ac:dyDescent="0.25">
      <c r="A25" s="7">
        <v>10108</v>
      </c>
      <c r="B25" s="11">
        <v>10102</v>
      </c>
      <c r="C25" s="42">
        <f t="shared" si="0"/>
        <v>160</v>
      </c>
    </row>
    <row r="26" spans="1:14" ht="15" x14ac:dyDescent="0.25">
      <c r="A26" s="7">
        <v>10100</v>
      </c>
      <c r="B26" s="11">
        <v>10106</v>
      </c>
      <c r="C26" s="42">
        <f t="shared" si="0"/>
        <v>185</v>
      </c>
    </row>
    <row r="27" spans="1:14" ht="15" x14ac:dyDescent="0.25">
      <c r="A27" s="7">
        <v>10108</v>
      </c>
      <c r="B27" s="11">
        <v>10110</v>
      </c>
      <c r="C27" s="42">
        <f t="shared" si="0"/>
        <v>50</v>
      </c>
    </row>
    <row r="28" spans="1:14" ht="15" x14ac:dyDescent="0.25">
      <c r="A28" s="7">
        <v>10102</v>
      </c>
      <c r="B28" s="11">
        <v>10104</v>
      </c>
      <c r="C28" s="42">
        <f t="shared" si="0"/>
        <v>-1</v>
      </c>
    </row>
    <row r="29" spans="1:14" ht="15" x14ac:dyDescent="0.25">
      <c r="A29" s="7">
        <v>10106</v>
      </c>
      <c r="B29" s="11">
        <v>10108</v>
      </c>
      <c r="C29" s="42">
        <f t="shared" si="0"/>
        <v>70</v>
      </c>
    </row>
    <row r="30" spans="1:14" ht="15" x14ac:dyDescent="0.25">
      <c r="A30" s="7">
        <v>10102</v>
      </c>
      <c r="B30" s="11">
        <v>10106</v>
      </c>
      <c r="C30" s="42">
        <f t="shared" si="0"/>
        <v>90</v>
      </c>
    </row>
    <row r="31" spans="1:14" ht="15" x14ac:dyDescent="0.25">
      <c r="A31" s="7">
        <v>10110</v>
      </c>
      <c r="B31" s="11">
        <v>10114</v>
      </c>
      <c r="C31" s="42">
        <f t="shared" si="0"/>
        <v>180</v>
      </c>
    </row>
    <row r="32" spans="1:14" ht="15" x14ac:dyDescent="0.25">
      <c r="A32" s="7">
        <v>10104</v>
      </c>
      <c r="B32" s="11">
        <v>10106</v>
      </c>
      <c r="C32" s="42">
        <f t="shared" si="0"/>
        <v>60</v>
      </c>
    </row>
    <row r="33" spans="1:3" ht="15" x14ac:dyDescent="0.25">
      <c r="A33" s="7">
        <v>10110</v>
      </c>
      <c r="B33" s="11">
        <v>10112</v>
      </c>
      <c r="C33" s="42">
        <f t="shared" si="0"/>
        <v>115</v>
      </c>
    </row>
    <row r="34" spans="1:3" ht="15" x14ac:dyDescent="0.25">
      <c r="A34" s="7">
        <v>10100</v>
      </c>
      <c r="B34" s="11">
        <v>10114</v>
      </c>
      <c r="C34" s="42">
        <f t="shared" si="0"/>
        <v>480</v>
      </c>
    </row>
    <row r="35" spans="1:3" ht="15" x14ac:dyDescent="0.25">
      <c r="A35" s="8">
        <v>10112</v>
      </c>
      <c r="B35" s="12">
        <v>10116</v>
      </c>
      <c r="C35" s="42">
        <f t="shared" si="0"/>
        <v>105</v>
      </c>
    </row>
    <row r="40" spans="1:3" x14ac:dyDescent="0.2">
      <c r="C40" s="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archit jambhule</cp:lastModifiedBy>
  <dcterms:created xsi:type="dcterms:W3CDTF">2015-02-10T17:33:11Z</dcterms:created>
  <dcterms:modified xsi:type="dcterms:W3CDTF">2023-12-10T05:33:57Z</dcterms:modified>
</cp:coreProperties>
</file>